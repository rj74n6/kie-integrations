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ine Items" sheetId="2" state="visible" r:id="rId4"/>
    <sheet name="By Invoi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<sst xmlns="http://schemas.openxmlformats.org/spreadsheetml/2006/main" count="158" uniqueCount="74">
  <si>
    <t xml:space="preserve">Invoice Batch Report</t>
  </si>
  <si>
    <t xml:space="preserve">Summary of 3 invoices</t>
  </si>
  <si>
    <t xml:space="preserve">Invoice #</t>
  </si>
  <si>
    <t xml:space="preserve">Date</t>
  </si>
  <si>
    <t xml:space="preserve">Seller</t>
  </si>
  <si>
    <t xml:space="preserve">Client</t>
  </si>
  <si>
    <t xml:space="preserve">Items</t>
  </si>
  <si>
    <t xml:space="preserve">Net Worth</t>
  </si>
  <si>
    <t xml:space="preserve">VAT</t>
  </si>
  <si>
    <t xml:space="preserve">Gross Worth</t>
  </si>
  <si>
    <t xml:space="preserve">51109338</t>
  </si>
  <si>
    <t xml:space="preserve">04/13/2013</t>
  </si>
  <si>
    <t xml:space="preserve">Andrews, Kirby and Valdez</t>
  </si>
  <si>
    <t xml:space="preserve">Becker Ltd</t>
  </si>
  <si>
    <t xml:space="preserve">12847181</t>
  </si>
  <si>
    <t xml:space="preserve">03/03/2012</t>
  </si>
  <si>
    <t xml:space="preserve">Fitzpatrick and Sons</t>
  </si>
  <si>
    <t xml:space="preserve">Duncan PLC</t>
  </si>
  <si>
    <t xml:space="preserve">19471831</t>
  </si>
  <si>
    <t xml:space="preserve">04/09/2014</t>
  </si>
  <si>
    <t xml:space="preserve">Palmer Ltd</t>
  </si>
  <si>
    <t xml:space="preserve">Rios, Oneill and Rowe</t>
  </si>
  <si>
    <t xml:space="preserve">TOTAL</t>
  </si>
  <si>
    <t xml:space="preserve">Key Metrics</t>
  </si>
  <si>
    <t xml:space="preserve">Total Invoices</t>
  </si>
  <si>
    <t xml:space="preserve">Total Line Items</t>
  </si>
  <si>
    <t xml:space="preserve">Total Net Worth</t>
  </si>
  <si>
    <t xml:space="preserve">Total VAT (10%)</t>
  </si>
  <si>
    <t xml:space="preserve">Total Gross Worth</t>
  </si>
  <si>
    <t xml:space="preserve">Average Invoice Value (Gross)</t>
  </si>
  <si>
    <t xml:space="preserve">Largest Invoice (Gross)</t>
  </si>
  <si>
    <t xml:space="preserve">Smallest Invoice (Gross)</t>
  </si>
  <si>
    <t xml:space="preserve">Detailed Line Items — All Invoices</t>
  </si>
  <si>
    <t xml:space="preserve">No.</t>
  </si>
  <si>
    <t xml:space="preserve">Description</t>
  </si>
  <si>
    <t xml:space="preserve">Qty</t>
  </si>
  <si>
    <t xml:space="preserve">Net Price</t>
  </si>
  <si>
    <t xml:space="preserve">CLEARANCE! Fast Dell Desktop Computer PC DUAL CORE WINDOWS 10 4/8/16GB RAM</t>
  </si>
  <si>
    <t xml:space="preserve">HP T520 Thin Client Computer AMD GX-212JC 1.2GHz 4GB RAM TESTED</t>
  </si>
  <si>
    <t xml:space="preserve">Gaming PC Desktop Computer</t>
  </si>
  <si>
    <t xml:space="preserve">12-Core Gaming Computer Desktop PC Tower Affordable GAMING PC 8GB AMD Vega RGB</t>
  </si>
  <si>
    <t xml:space="preserve">Custom Build Dell Optiplex 9020 MT i5-4570 3.20GHz Desktop Computer PC</t>
  </si>
  <si>
    <t xml:space="preserve">Dell Optiplex 990 MT Computer PC Quad Core i7 3.4GHz 16GB 2TB HD Windows 10 Pro</t>
  </si>
  <si>
    <t xml:space="preserve">Dell Core 2 Duo Desktop Computer | Windows XP Pro | 4GB | 500GB</t>
  </si>
  <si>
    <t xml:space="preserve">HP Desktop Computer PC Core i5 16GB 2TB HD 256GB SSD 22" LCD Windows 10</t>
  </si>
  <si>
    <t xml:space="preserve">CUSTOM BUILT AMD RYZEN THREADRIPPER GAMING COMPUTER, 32 GB RAM</t>
  </si>
  <si>
    <t xml:space="preserve">Fast Dell Optiplex Desktop PC Computer Dual Core 3.4GHz 8GB 1TB Win 10 Pro WIFI</t>
  </si>
  <si>
    <t xml:space="preserve">Dell Optiplex 790 Computer i7 @ 3.40 GHz Quad Core 250GB 4GB Working</t>
  </si>
  <si>
    <t xml:space="preserve">Vintage Microsolutions Pentium 133MHz Desktop Tower PC Windows 95 5.25 Floppy</t>
  </si>
  <si>
    <t xml:space="preserve">15"x15" White Decorative Coffee Table Top Lapis Lazuli Marquetery Patio Décor</t>
  </si>
  <si>
    <t xml:space="preserve">4'x2' Marble Dining Table Top Pietra Dura Birds Inlay Art Furniture Decors B444</t>
  </si>
  <si>
    <t xml:space="preserve">60 Inches Marble Dining Table Top Hand Inlaid Garden Table with Gemstones</t>
  </si>
  <si>
    <t xml:space="preserve">Breakdown by Invoice</t>
  </si>
  <si>
    <t xml:space="preserve">Invoice #51109338</t>
  </si>
  <si>
    <t xml:space="preserve">Date:</t>
  </si>
  <si>
    <t xml:space="preserve">Seller:</t>
  </si>
  <si>
    <t xml:space="preserve">Client:</t>
  </si>
  <si>
    <t xml:space="preserve">CLEARANCE! Fast Dell Desktop Computer PC</t>
  </si>
  <si>
    <t xml:space="preserve">HP T520 Thin Client Computer AMD GX-212JC</t>
  </si>
  <si>
    <t xml:space="preserve">12-Core Gaming Computer Desktop PC Tower</t>
  </si>
  <si>
    <t xml:space="preserve">Custom Build Dell Optiplex 9020 MT i5-4570</t>
  </si>
  <si>
    <t xml:space="preserve">Dell Optiplex 990 MT Computer PC Quad Core i7</t>
  </si>
  <si>
    <t xml:space="preserve">Dell Core 2 Duo Desktop Computer</t>
  </si>
  <si>
    <t xml:space="preserve">Subtotal</t>
  </si>
  <si>
    <t xml:space="preserve">Invoice #12847181</t>
  </si>
  <si>
    <t xml:space="preserve">HP Desktop Computer PC Core i5 16GB</t>
  </si>
  <si>
    <t xml:space="preserve">CUSTOM BUILT AMD RYZEN THREADRIPPER GAMING</t>
  </si>
  <si>
    <t xml:space="preserve">Fast Dell Optiplex Desktop PC Dual Core 3.4GHz</t>
  </si>
  <si>
    <t xml:space="preserve">Dell Optiplex 790 Computer i7 @ 3.40 GHz</t>
  </si>
  <si>
    <t xml:space="preserve">Vintage Microsolutions Pentium 133MHz</t>
  </si>
  <si>
    <t xml:space="preserve">Invoice #19471831</t>
  </si>
  <si>
    <t xml:space="preserve">15"x15" White Decorative Coffee Table Top</t>
  </si>
  <si>
    <t xml:space="preserve">4'x2' Marble Dining Table Top Pietra Dura</t>
  </si>
  <si>
    <t xml:space="preserve">60 Inches Marble Dining Table Top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</si>
</sst>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2F7FB"/>
        <bgColor rgb="FFFFFFFF"/>
      </patternFill>
    </fill>
    <fill>
      <patternFill patternType="solid">
        <fgColor rgb="FFD6E4F0"/>
        <bgColor rgb="FFF2F7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double">
        <color rgb="FF2F5496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28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n">
        <v>7</v>
      </c>
      <c r="F5" s="5" t="n">
        <v>5640.17</v>
      </c>
      <c r="G5" s="5" t="n">
        <v>564.02</v>
      </c>
      <c r="H5" s="5" t="n">
        <v>6204.19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16</v>
      </c>
      <c r="D6" s="4" t="s">
        <v>17</v>
      </c>
      <c r="E6" s="4" t="n">
        <v>5</v>
      </c>
      <c r="F6" s="5" t="n">
        <v>6236.77</v>
      </c>
      <c r="G6" s="5" t="n">
        <v>623.68</v>
      </c>
      <c r="H6" s="5" t="n">
        <v>6860.45</v>
      </c>
    </row>
    <row r="7" customFormat="false" ht="15" hidden="false" customHeight="false" outlineLevel="0" collapsed="false">
      <c r="A7" s="4" t="s">
        <v>18</v>
      </c>
      <c r="B7" s="4" t="s">
        <v>19</v>
      </c>
      <c r="C7" s="4" t="s">
        <v>20</v>
      </c>
      <c r="D7" s="4" t="s">
        <v>21</v>
      </c>
      <c r="E7" s="4" t="n">
        <v>3</v>
      </c>
      <c r="F7" s="5" t="n">
        <v>40677.81</v>
      </c>
      <c r="G7" s="5" t="n">
        <v>4067.78</v>
      </c>
      <c r="H7" s="5" t="n">
        <v>44745.59</v>
      </c>
    </row>
    <row r="8" customFormat="false" ht="15" hidden="false" customHeight="false" outlineLevel="0" collapsed="false">
      <c r="A8" s="6" t="s">
        <v>22</v>
      </c>
      <c r="B8" s="6"/>
      <c r="C8" s="6"/>
      <c r="D8" s="6"/>
      <c r="E8" s="6" t="n">
        <f aca="false">SUM(E5:E7)</f>
        <v>15</v>
      </c>
      <c r="F8" s="7" t="n">
        <f aca="false">SUM(F5:F7)</f>
        <v>52554.75</v>
      </c>
      <c r="G8" s="7" t="n">
        <f aca="false">SUM(G5:G7)</f>
        <v>5255.48</v>
      </c>
      <c r="H8" s="7" t="n">
        <f aca="false">SUM(H5:H7)</f>
        <v>57810.23</v>
      </c>
    </row>
    <row r="11" customFormat="false" ht="15" hidden="false" customHeight="false" outlineLevel="0" collapsed="false">
      <c r="A11" s="8" t="s">
        <v>23</v>
      </c>
    </row>
    <row r="12" customFormat="false" ht="15" hidden="false" customHeight="false" outlineLevel="0" collapsed="false">
      <c r="A12" s="9" t="s">
        <v>24</v>
      </c>
      <c r="B12" s="4" t="n">
        <v>3</v>
      </c>
    </row>
    <row r="13" customFormat="false" ht="15" hidden="false" customHeight="false" outlineLevel="0" collapsed="false">
      <c r="A13" s="9" t="s">
        <v>25</v>
      </c>
      <c r="B13" s="4" t="n">
        <f aca="false">E8</f>
        <v>15</v>
      </c>
    </row>
    <row r="14" customFormat="false" ht="15" hidden="false" customHeight="false" outlineLevel="0" collapsed="false">
      <c r="A14" s="9" t="s">
        <v>26</v>
      </c>
      <c r="B14" s="5" t="n">
        <f aca="false">F8</f>
        <v>52554.75</v>
      </c>
    </row>
    <row r="15" customFormat="false" ht="15" hidden="false" customHeight="false" outlineLevel="0" collapsed="false">
      <c r="A15" s="9" t="s">
        <v>27</v>
      </c>
      <c r="B15" s="5" t="n">
        <f aca="false">G8</f>
        <v>5255.48</v>
      </c>
    </row>
    <row r="16" customFormat="false" ht="15" hidden="false" customHeight="false" outlineLevel="0" collapsed="false">
      <c r="A16" s="9" t="s">
        <v>28</v>
      </c>
      <c r="B16" s="5" t="n">
        <f aca="false">H8</f>
        <v>57810.23</v>
      </c>
    </row>
    <row r="17" customFormat="false" ht="15" hidden="false" customHeight="false" outlineLevel="0" collapsed="false">
      <c r="A17" s="9" t="s">
        <v>29</v>
      </c>
      <c r="B17" s="5" t="n">
        <f aca="false">H8/3</f>
        <v>19270.0766666667</v>
      </c>
    </row>
    <row r="18" customFormat="false" ht="15" hidden="false" customHeight="false" outlineLevel="0" collapsed="false">
      <c r="A18" s="9" t="s">
        <v>30</v>
      </c>
      <c r="B18" s="5" t="n">
        <f aca="false">MAX(H5:H7)</f>
        <v>44745.59</v>
      </c>
    </row>
    <row r="19" customFormat="false" ht="15" hidden="false" customHeight="false" outlineLevel="0" collapsed="false">
      <c r="A19" s="9" t="s">
        <v>31</v>
      </c>
      <c r="B19" s="5" t="n">
        <f aca="false">MIN(H5:H7)</f>
        <v>6204.19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8"/>
    <col collapsed="false" customWidth="true" hidden="false" outlineLevel="0" max="4" min="4" style="0" width="5"/>
    <col collapsed="false" customWidth="true" hidden="false" outlineLevel="0" max="5" min="5" style="0" width="50"/>
    <col collapsed="false" customWidth="true" hidden="false" outlineLevel="0" max="6" min="6" style="0" width="6"/>
    <col collapsed="false" customWidth="true" hidden="false" outlineLevel="0" max="9" min="7" style="0" width="14"/>
  </cols>
  <sheetData>
    <row r="1" customFormat="false" ht="17.35" hidden="false" customHeight="fals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7</v>
      </c>
      <c r="I3" s="3" t="s">
        <v>9</v>
      </c>
    </row>
    <row r="4" customFormat="false" ht="15" hidden="false" customHeight="false" outlineLevel="0" collapsed="false">
      <c r="A4" s="4" t="s">
        <v>10</v>
      </c>
      <c r="B4" s="4" t="s">
        <v>11</v>
      </c>
      <c r="C4" s="4" t="s">
        <v>12</v>
      </c>
      <c r="D4" s="4" t="n">
        <v>1</v>
      </c>
      <c r="E4" s="4" t="s">
        <v>37</v>
      </c>
      <c r="F4" s="4" t="n">
        <v>3</v>
      </c>
      <c r="G4" s="5" t="n">
        <v>209</v>
      </c>
      <c r="H4" s="5" t="n">
        <v>627</v>
      </c>
      <c r="I4" s="5" t="n">
        <v>689.7</v>
      </c>
    </row>
    <row r="5" customFormat="false" ht="15" hidden="false" customHeight="false" outlineLevel="0" collapsed="false">
      <c r="A5" s="10" t="s">
        <v>10</v>
      </c>
      <c r="B5" s="10" t="s">
        <v>11</v>
      </c>
      <c r="C5" s="10" t="s">
        <v>12</v>
      </c>
      <c r="D5" s="10" t="n">
        <v>2</v>
      </c>
      <c r="E5" s="10" t="s">
        <v>38</v>
      </c>
      <c r="F5" s="10" t="n">
        <v>5</v>
      </c>
      <c r="G5" s="11" t="n">
        <v>37.75</v>
      </c>
      <c r="H5" s="11" t="n">
        <v>188.75</v>
      </c>
      <c r="I5" s="11" t="n">
        <v>207.63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n">
        <v>3</v>
      </c>
      <c r="E6" s="4" t="s">
        <v>39</v>
      </c>
      <c r="F6" s="4" t="n">
        <v>1</v>
      </c>
      <c r="G6" s="5" t="n">
        <v>400</v>
      </c>
      <c r="H6" s="5" t="n">
        <v>400</v>
      </c>
      <c r="I6" s="5" t="n">
        <v>440</v>
      </c>
    </row>
    <row r="7" customFormat="false" ht="15" hidden="false" customHeight="false" outlineLevel="0" collapsed="false">
      <c r="A7" s="10" t="s">
        <v>10</v>
      </c>
      <c r="B7" s="10" t="s">
        <v>11</v>
      </c>
      <c r="C7" s="10" t="s">
        <v>12</v>
      </c>
      <c r="D7" s="10" t="n">
        <v>4</v>
      </c>
      <c r="E7" s="10" t="s">
        <v>40</v>
      </c>
      <c r="F7" s="10" t="n">
        <v>3</v>
      </c>
      <c r="G7" s="11" t="n">
        <v>464.89</v>
      </c>
      <c r="H7" s="11" t="n">
        <v>1394.67</v>
      </c>
      <c r="I7" s="11" t="n">
        <v>1534.14</v>
      </c>
    </row>
    <row r="8" customFormat="false" ht="15" hidden="false" customHeight="false" outlineLevel="0" collapsed="false">
      <c r="A8" s="4" t="s">
        <v>10</v>
      </c>
      <c r="B8" s="4" t="s">
        <v>11</v>
      </c>
      <c r="C8" s="4" t="s">
        <v>12</v>
      </c>
      <c r="D8" s="4" t="n">
        <v>5</v>
      </c>
      <c r="E8" s="4" t="s">
        <v>41</v>
      </c>
      <c r="F8" s="4" t="n">
        <v>5</v>
      </c>
      <c r="G8" s="5" t="n">
        <v>221.99</v>
      </c>
      <c r="H8" s="5" t="n">
        <v>1109.95</v>
      </c>
      <c r="I8" s="5" t="n">
        <v>1220.95</v>
      </c>
    </row>
    <row r="9" customFormat="false" ht="15" hidden="false" customHeight="false" outlineLevel="0" collapsed="false">
      <c r="A9" s="10" t="s">
        <v>10</v>
      </c>
      <c r="B9" s="10" t="s">
        <v>11</v>
      </c>
      <c r="C9" s="10" t="s">
        <v>12</v>
      </c>
      <c r="D9" s="10" t="n">
        <v>6</v>
      </c>
      <c r="E9" s="10" t="s">
        <v>42</v>
      </c>
      <c r="F9" s="10" t="n">
        <v>4</v>
      </c>
      <c r="G9" s="11" t="n">
        <v>269.95</v>
      </c>
      <c r="H9" s="11" t="n">
        <v>1079.8</v>
      </c>
      <c r="I9" s="11" t="n">
        <v>1187.78</v>
      </c>
    </row>
    <row r="10" customFormat="false" ht="15" hidden="false" customHeight="false" outlineLevel="0" collapsed="false">
      <c r="A10" s="4" t="s">
        <v>10</v>
      </c>
      <c r="B10" s="4" t="s">
        <v>11</v>
      </c>
      <c r="C10" s="4" t="s">
        <v>12</v>
      </c>
      <c r="D10" s="4" t="n">
        <v>7</v>
      </c>
      <c r="E10" s="4" t="s">
        <v>43</v>
      </c>
      <c r="F10" s="4" t="n">
        <v>5</v>
      </c>
      <c r="G10" s="5" t="n">
        <v>168</v>
      </c>
      <c r="H10" s="5" t="n">
        <v>840</v>
      </c>
      <c r="I10" s="5" t="n">
        <v>924</v>
      </c>
    </row>
    <row r="11" customFormat="false" ht="15" hidden="false" customHeight="false" outlineLevel="0" collapsed="false">
      <c r="A11" s="10" t="s">
        <v>14</v>
      </c>
      <c r="B11" s="10" t="s">
        <v>15</v>
      </c>
      <c r="C11" s="10" t="s">
        <v>16</v>
      </c>
      <c r="D11" s="10" t="n">
        <v>1</v>
      </c>
      <c r="E11" s="10" t="s">
        <v>44</v>
      </c>
      <c r="F11" s="10" t="n">
        <v>4</v>
      </c>
      <c r="G11" s="11" t="n">
        <v>139.95</v>
      </c>
      <c r="H11" s="11" t="n">
        <v>559.8</v>
      </c>
      <c r="I11" s="11" t="n">
        <v>615.78</v>
      </c>
    </row>
    <row r="12" customFormat="false" ht="15" hidden="false" customHeight="false" outlineLevel="0" collapsed="false">
      <c r="A12" s="4" t="s">
        <v>14</v>
      </c>
      <c r="B12" s="4" t="s">
        <v>15</v>
      </c>
      <c r="C12" s="4" t="s">
        <v>16</v>
      </c>
      <c r="D12" s="4" t="n">
        <v>2</v>
      </c>
      <c r="E12" s="4" t="s">
        <v>45</v>
      </c>
      <c r="F12" s="4" t="n">
        <v>3</v>
      </c>
      <c r="G12" s="5" t="n">
        <v>1400</v>
      </c>
      <c r="H12" s="5" t="n">
        <v>4200</v>
      </c>
      <c r="I12" s="5" t="n">
        <v>4620</v>
      </c>
    </row>
    <row r="13" customFormat="false" ht="15" hidden="false" customHeight="false" outlineLevel="0" collapsed="false">
      <c r="A13" s="10" t="s">
        <v>14</v>
      </c>
      <c r="B13" s="10" t="s">
        <v>15</v>
      </c>
      <c r="C13" s="10" t="s">
        <v>16</v>
      </c>
      <c r="D13" s="10" t="n">
        <v>3</v>
      </c>
      <c r="E13" s="10" t="s">
        <v>46</v>
      </c>
      <c r="F13" s="10" t="n">
        <v>1</v>
      </c>
      <c r="G13" s="11" t="n">
        <v>217</v>
      </c>
      <c r="H13" s="11" t="n">
        <v>217</v>
      </c>
      <c r="I13" s="11" t="n">
        <v>238.7</v>
      </c>
    </row>
    <row r="14" customFormat="false" ht="15" hidden="false" customHeight="false" outlineLevel="0" collapsed="false">
      <c r="A14" s="4" t="s">
        <v>14</v>
      </c>
      <c r="B14" s="4" t="s">
        <v>15</v>
      </c>
      <c r="C14" s="4" t="s">
        <v>16</v>
      </c>
      <c r="D14" s="4" t="n">
        <v>4</v>
      </c>
      <c r="E14" s="4" t="s">
        <v>47</v>
      </c>
      <c r="F14" s="4" t="n">
        <v>3</v>
      </c>
      <c r="G14" s="5" t="n">
        <v>159.99</v>
      </c>
      <c r="H14" s="5" t="n">
        <v>479.97</v>
      </c>
      <c r="I14" s="5" t="n">
        <v>527.97</v>
      </c>
    </row>
    <row r="15" customFormat="false" ht="15" hidden="false" customHeight="false" outlineLevel="0" collapsed="false">
      <c r="A15" s="10" t="s">
        <v>14</v>
      </c>
      <c r="B15" s="10" t="s">
        <v>15</v>
      </c>
      <c r="C15" s="10" t="s">
        <v>16</v>
      </c>
      <c r="D15" s="10" t="n">
        <v>5</v>
      </c>
      <c r="E15" s="10" t="s">
        <v>48</v>
      </c>
      <c r="F15" s="10" t="n">
        <v>2</v>
      </c>
      <c r="G15" s="11" t="n">
        <v>390</v>
      </c>
      <c r="H15" s="11" t="n">
        <v>780</v>
      </c>
      <c r="I15" s="11" t="n">
        <v>858</v>
      </c>
    </row>
    <row r="16" customFormat="false" ht="15" hidden="false" customHeight="false" outlineLevel="0" collapsed="false">
      <c r="A16" s="4" t="s">
        <v>18</v>
      </c>
      <c r="B16" s="4" t="s">
        <v>19</v>
      </c>
      <c r="C16" s="4" t="s">
        <v>20</v>
      </c>
      <c r="D16" s="4" t="n">
        <v>1</v>
      </c>
      <c r="E16" s="4" t="s">
        <v>49</v>
      </c>
      <c r="F16" s="4" t="n">
        <v>3</v>
      </c>
      <c r="G16" s="5" t="n">
        <v>645.77</v>
      </c>
      <c r="H16" s="5" t="n">
        <v>1937.31</v>
      </c>
      <c r="I16" s="5" t="n">
        <v>2131.04</v>
      </c>
    </row>
    <row r="17" customFormat="false" ht="15" hidden="false" customHeight="false" outlineLevel="0" collapsed="false">
      <c r="A17" s="10" t="s">
        <v>18</v>
      </c>
      <c r="B17" s="10" t="s">
        <v>19</v>
      </c>
      <c r="C17" s="10" t="s">
        <v>20</v>
      </c>
      <c r="D17" s="10" t="n">
        <v>2</v>
      </c>
      <c r="E17" s="10" t="s">
        <v>50</v>
      </c>
      <c r="F17" s="10" t="n">
        <v>5</v>
      </c>
      <c r="G17" s="11" t="n">
        <v>1840.1</v>
      </c>
      <c r="H17" s="11" t="n">
        <v>9200.5</v>
      </c>
      <c r="I17" s="11" t="n">
        <v>10120.55</v>
      </c>
    </row>
    <row r="18" customFormat="false" ht="15" hidden="false" customHeight="false" outlineLevel="0" collapsed="false">
      <c r="A18" s="4" t="s">
        <v>18</v>
      </c>
      <c r="B18" s="4" t="s">
        <v>19</v>
      </c>
      <c r="C18" s="4" t="s">
        <v>20</v>
      </c>
      <c r="D18" s="4" t="n">
        <v>3</v>
      </c>
      <c r="E18" s="4" t="s">
        <v>51</v>
      </c>
      <c r="F18" s="4" t="n">
        <v>5</v>
      </c>
      <c r="G18" s="5" t="n">
        <v>5908</v>
      </c>
      <c r="H18" s="5" t="n">
        <v>29540</v>
      </c>
      <c r="I18" s="5" t="n">
        <v>32494</v>
      </c>
    </row>
    <row r="19" customFormat="false" ht="15" hidden="false" customHeight="false" outlineLevel="0" collapsed="false">
      <c r="A19" s="6" t="s">
        <v>22</v>
      </c>
      <c r="B19" s="6"/>
      <c r="C19" s="6"/>
      <c r="D19" s="6"/>
      <c r="E19" s="6"/>
      <c r="F19" s="6" t="n">
        <f aca="false">SUM(F4:F18)</f>
        <v>52</v>
      </c>
      <c r="G19" s="7"/>
      <c r="H19" s="7" t="n">
        <f aca="false">SUM(H4:H18)</f>
        <v>52554.75</v>
      </c>
      <c r="I19" s="7" t="n">
        <f aca="false">SUM(I4:I18)</f>
        <v>57810.24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2"/>
  </cols>
  <sheetData>
    <row r="1" customFormat="false" ht="17.3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2" t="s">
        <v>53</v>
      </c>
      <c r="B3" s="12"/>
      <c r="C3" s="12"/>
      <c r="D3" s="12"/>
      <c r="E3" s="12"/>
      <c r="F3" s="12"/>
      <c r="G3" s="12"/>
    </row>
    <row r="4" customFormat="false" ht="15" hidden="false" customHeight="false" outlineLevel="0" collapsed="false">
      <c r="A4" s="13" t="s">
        <v>54</v>
      </c>
      <c r="B4" s="14" t="s">
        <v>11</v>
      </c>
      <c r="D4" s="13" t="s">
        <v>55</v>
      </c>
      <c r="E4" s="14" t="s">
        <v>12</v>
      </c>
    </row>
    <row r="5" customFormat="false" ht="15" hidden="false" customHeight="false" outlineLevel="0" collapsed="false">
      <c r="D5" s="13" t="s">
        <v>56</v>
      </c>
      <c r="E5" s="14" t="s">
        <v>13</v>
      </c>
    </row>
    <row r="6" customFormat="false" ht="15" hidden="false" customHeight="false" outlineLevel="0" collapsed="false">
      <c r="A6" s="15" t="s">
        <v>34</v>
      </c>
      <c r="B6" s="15" t="s">
        <v>35</v>
      </c>
      <c r="C6" s="15" t="s">
        <v>36</v>
      </c>
      <c r="D6" s="15" t="s">
        <v>7</v>
      </c>
      <c r="E6" s="15" t="s">
        <v>9</v>
      </c>
    </row>
    <row r="7" customFormat="false" ht="15" hidden="false" customHeight="false" outlineLevel="0" collapsed="false">
      <c r="A7" s="4" t="s">
        <v>57</v>
      </c>
      <c r="B7" s="4" t="n">
        <v>3</v>
      </c>
      <c r="C7" s="5" t="n">
        <v>209</v>
      </c>
      <c r="D7" s="5" t="n">
        <v>627</v>
      </c>
      <c r="E7" s="5" t="n">
        <v>689.7</v>
      </c>
    </row>
    <row r="8" customFormat="false" ht="15" hidden="false" customHeight="false" outlineLevel="0" collapsed="false">
      <c r="A8" s="4" t="s">
        <v>58</v>
      </c>
      <c r="B8" s="4" t="n">
        <v>5</v>
      </c>
      <c r="C8" s="5" t="n">
        <v>37.75</v>
      </c>
      <c r="D8" s="5" t="n">
        <v>188.75</v>
      </c>
      <c r="E8" s="5" t="n">
        <v>207.63</v>
      </c>
    </row>
    <row r="9" customFormat="false" ht="15" hidden="false" customHeight="false" outlineLevel="0" collapsed="false">
      <c r="A9" s="4" t="s">
        <v>39</v>
      </c>
      <c r="B9" s="4" t="n">
        <v>1</v>
      </c>
      <c r="C9" s="5" t="n">
        <v>400</v>
      </c>
      <c r="D9" s="5" t="n">
        <v>400</v>
      </c>
      <c r="E9" s="5" t="n">
        <v>440</v>
      </c>
    </row>
    <row r="10" customFormat="false" ht="15" hidden="false" customHeight="false" outlineLevel="0" collapsed="false">
      <c r="A10" s="4" t="s">
        <v>59</v>
      </c>
      <c r="B10" s="4" t="n">
        <v>3</v>
      </c>
      <c r="C10" s="5" t="n">
        <v>464.89</v>
      </c>
      <c r="D10" s="5" t="n">
        <v>1394.67</v>
      </c>
      <c r="E10" s="5" t="n">
        <v>1534.14</v>
      </c>
    </row>
    <row r="11" customFormat="false" ht="15" hidden="false" customHeight="false" outlineLevel="0" collapsed="false">
      <c r="A11" s="4" t="s">
        <v>60</v>
      </c>
      <c r="B11" s="4" t="n">
        <v>5</v>
      </c>
      <c r="C11" s="5" t="n">
        <v>221.99</v>
      </c>
      <c r="D11" s="5" t="n">
        <v>1109.95</v>
      </c>
      <c r="E11" s="5" t="n">
        <v>1220.95</v>
      </c>
    </row>
    <row r="12" customFormat="false" ht="15" hidden="false" customHeight="false" outlineLevel="0" collapsed="false">
      <c r="A12" s="4" t="s">
        <v>61</v>
      </c>
      <c r="B12" s="4" t="n">
        <v>4</v>
      </c>
      <c r="C12" s="5" t="n">
        <v>269.95</v>
      </c>
      <c r="D12" s="5" t="n">
        <v>1079.8</v>
      </c>
      <c r="E12" s="5" t="n">
        <v>1187.78</v>
      </c>
    </row>
    <row r="13" customFormat="false" ht="15" hidden="false" customHeight="false" outlineLevel="0" collapsed="false">
      <c r="A13" s="4" t="s">
        <v>62</v>
      </c>
      <c r="B13" s="4" t="n">
        <v>5</v>
      </c>
      <c r="C13" s="5" t="n">
        <v>168</v>
      </c>
      <c r="D13" s="5" t="n">
        <v>840</v>
      </c>
      <c r="E13" s="5" t="n">
        <v>924</v>
      </c>
    </row>
    <row r="14" customFormat="false" ht="15" hidden="false" customHeight="false" outlineLevel="0" collapsed="false">
      <c r="A14" s="16" t="s">
        <v>63</v>
      </c>
      <c r="B14" s="16" t="n">
        <f aca="false">SUM(B7:B13)</f>
        <v>26</v>
      </c>
      <c r="C14" s="16"/>
      <c r="D14" s="17" t="n">
        <f aca="false">SUM(D7:D13)</f>
        <v>5640.17</v>
      </c>
      <c r="E14" s="17" t="n">
        <f aca="false">SUM(E7:E13)</f>
        <v>6204.2</v>
      </c>
    </row>
    <row r="17" customFormat="false" ht="15" hidden="false" customHeight="false" outlineLevel="0" collapsed="false">
      <c r="A17" s="12" t="s">
        <v>64</v>
      </c>
      <c r="B17" s="12"/>
      <c r="C17" s="12"/>
      <c r="D17" s="12"/>
      <c r="E17" s="12"/>
      <c r="F17" s="12"/>
      <c r="G17" s="12"/>
    </row>
    <row r="18" customFormat="false" ht="15" hidden="false" customHeight="false" outlineLevel="0" collapsed="false">
      <c r="A18" s="13" t="s">
        <v>54</v>
      </c>
      <c r="B18" s="14" t="s">
        <v>15</v>
      </c>
      <c r="D18" s="13" t="s">
        <v>55</v>
      </c>
      <c r="E18" s="14" t="s">
        <v>16</v>
      </c>
    </row>
    <row r="19" customFormat="false" ht="15" hidden="false" customHeight="false" outlineLevel="0" collapsed="false">
      <c r="D19" s="13" t="s">
        <v>56</v>
      </c>
      <c r="E19" s="14" t="s">
        <v>17</v>
      </c>
    </row>
    <row r="20" customFormat="false" ht="15" hidden="false" customHeight="false" outlineLevel="0" collapsed="false">
      <c r="A20" s="15" t="s">
        <v>34</v>
      </c>
      <c r="B20" s="15" t="s">
        <v>35</v>
      </c>
      <c r="C20" s="15" t="s">
        <v>36</v>
      </c>
      <c r="D20" s="15" t="s">
        <v>7</v>
      </c>
      <c r="E20" s="15" t="s">
        <v>9</v>
      </c>
    </row>
    <row r="21" customFormat="false" ht="15" hidden="false" customHeight="false" outlineLevel="0" collapsed="false">
      <c r="A21" s="4" t="s">
        <v>65</v>
      </c>
      <c r="B21" s="4" t="n">
        <v>4</v>
      </c>
      <c r="C21" s="5" t="n">
        <v>139.95</v>
      </c>
      <c r="D21" s="5" t="n">
        <v>559.8</v>
      </c>
      <c r="E21" s="5" t="n">
        <v>615.78</v>
      </c>
    </row>
    <row r="22" customFormat="false" ht="15" hidden="false" customHeight="false" outlineLevel="0" collapsed="false">
      <c r="A22" s="4" t="s">
        <v>66</v>
      </c>
      <c r="B22" s="4" t="n">
        <v>3</v>
      </c>
      <c r="C22" s="5" t="n">
        <v>1400</v>
      </c>
      <c r="D22" s="5" t="n">
        <v>4200</v>
      </c>
      <c r="E22" s="5" t="n">
        <v>4620</v>
      </c>
    </row>
    <row r="23" customFormat="false" ht="15" hidden="false" customHeight="false" outlineLevel="0" collapsed="false">
      <c r="A23" s="4" t="s">
        <v>67</v>
      </c>
      <c r="B23" s="4" t="n">
        <v>1</v>
      </c>
      <c r="C23" s="5" t="n">
        <v>217</v>
      </c>
      <c r="D23" s="5" t="n">
        <v>217</v>
      </c>
      <c r="E23" s="5" t="n">
        <v>238.7</v>
      </c>
    </row>
    <row r="24" customFormat="false" ht="15" hidden="false" customHeight="false" outlineLevel="0" collapsed="false">
      <c r="A24" s="4" t="s">
        <v>68</v>
      </c>
      <c r="B24" s="4" t="n">
        <v>3</v>
      </c>
      <c r="C24" s="5" t="n">
        <v>159.99</v>
      </c>
      <c r="D24" s="5" t="n">
        <v>479.97</v>
      </c>
      <c r="E24" s="5" t="n">
        <v>527.97</v>
      </c>
    </row>
    <row r="25" customFormat="false" ht="15" hidden="false" customHeight="false" outlineLevel="0" collapsed="false">
      <c r="A25" s="4" t="s">
        <v>69</v>
      </c>
      <c r="B25" s="4" t="n">
        <v>2</v>
      </c>
      <c r="C25" s="5" t="n">
        <v>390</v>
      </c>
      <c r="D25" s="5" t="n">
        <v>780</v>
      </c>
      <c r="E25" s="5" t="n">
        <v>858</v>
      </c>
    </row>
    <row r="26" customFormat="false" ht="15" hidden="false" customHeight="false" outlineLevel="0" collapsed="false">
      <c r="A26" s="16" t="s">
        <v>63</v>
      </c>
      <c r="B26" s="16" t="n">
        <f aca="false">SUM(B21:B25)</f>
        <v>13</v>
      </c>
      <c r="C26" s="16"/>
      <c r="D26" s="17" t="n">
        <f aca="false">SUM(D21:D25)</f>
        <v>6236.77</v>
      </c>
      <c r="E26" s="17" t="n">
        <f aca="false">SUM(E21:E25)</f>
        <v>6860.45</v>
      </c>
    </row>
    <row r="29" customFormat="false" ht="15" hidden="false" customHeight="false" outlineLevel="0" collapsed="false">
      <c r="A29" s="12" t="s">
        <v>70</v>
      </c>
      <c r="B29" s="12"/>
      <c r="C29" s="12"/>
      <c r="D29" s="12"/>
      <c r="E29" s="12"/>
      <c r="F29" s="12"/>
      <c r="G29" s="12"/>
    </row>
    <row r="30" customFormat="false" ht="15" hidden="false" customHeight="false" outlineLevel="0" collapsed="false">
      <c r="A30" s="13" t="s">
        <v>54</v>
      </c>
      <c r="B30" s="14" t="s">
        <v>19</v>
      </c>
      <c r="D30" s="13" t="s">
        <v>55</v>
      </c>
      <c r="E30" s="14" t="s">
        <v>20</v>
      </c>
    </row>
    <row r="31" customFormat="false" ht="15" hidden="false" customHeight="false" outlineLevel="0" collapsed="false">
      <c r="D31" s="13" t="s">
        <v>56</v>
      </c>
      <c r="E31" s="14" t="s">
        <v>21</v>
      </c>
    </row>
    <row r="32" customFormat="false" ht="15" hidden="false" customHeight="false" outlineLevel="0" collapsed="false">
      <c r="A32" s="15" t="s">
        <v>34</v>
      </c>
      <c r="B32" s="15" t="s">
        <v>35</v>
      </c>
      <c r="C32" s="15" t="s">
        <v>36</v>
      </c>
      <c r="D32" s="15" t="s">
        <v>7</v>
      </c>
      <c r="E32" s="15" t="s">
        <v>9</v>
      </c>
    </row>
    <row r="33" customFormat="false" ht="15" hidden="false" customHeight="false" outlineLevel="0" collapsed="false">
      <c r="A33" s="4" t="s">
        <v>71</v>
      </c>
      <c r="B33" s="4" t="n">
        <v>3</v>
      </c>
      <c r="C33" s="5" t="n">
        <v>645.77</v>
      </c>
      <c r="D33" s="5" t="n">
        <v>1937.31</v>
      </c>
      <c r="E33" s="5" t="n">
        <v>2131.04</v>
      </c>
    </row>
    <row r="34" customFormat="false" ht="15" hidden="false" customHeight="false" outlineLevel="0" collapsed="false">
      <c r="A34" s="4" t="s">
        <v>72</v>
      </c>
      <c r="B34" s="4" t="n">
        <v>5</v>
      </c>
      <c r="C34" s="5" t="n">
        <v>1840.1</v>
      </c>
      <c r="D34" s="5" t="n">
        <v>9200.5</v>
      </c>
      <c r="E34" s="5" t="n">
        <v>10120.55</v>
      </c>
    </row>
    <row r="35" customFormat="false" ht="15" hidden="false" customHeight="false" outlineLevel="0" collapsed="false">
      <c r="A35" s="4" t="s">
        <v>73</v>
      </c>
      <c r="B35" s="4" t="n">
        <v>5</v>
      </c>
      <c r="C35" s="5" t="n">
        <v>5908</v>
      </c>
      <c r="D35" s="5" t="n">
        <v>29540</v>
      </c>
      <c r="E35" s="5" t="n">
        <v>32494</v>
      </c>
    </row>
    <row r="36" customFormat="false" ht="15" hidden="false" customHeight="false" outlineLevel="0" collapsed="false">
      <c r="A36" s="16" t="s">
        <v>63</v>
      </c>
      <c r="B36" s="16" t="n">
        <f aca="false">SUM(B33:B35)</f>
        <v>13</v>
      </c>
      <c r="C36" s="16"/>
      <c r="D36" s="17" t="n">
        <f aca="false">SUM(D33:D35)</f>
        <v>40677.81</v>
      </c>
      <c r="E36" s="17" t="n">
        <f aca="false">SUM(E33:E35)</f>
        <v>44745.59</v>
      </c>
    </row>
  </sheetData>
  <mergeCells count="4">
    <mergeCell ref="A1:G1"/>
    <mergeCell ref="A3:G3"/>
    <mergeCell ref="A17:G17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2026-02-28T18:16:32Z</dcterms:created>
  <dc:creator>openpyxl</dc:creator>
  <dc:description/>
  <dc:language>en-US</dc:language>
  <cp:lastModifiedBy/>
  <dcterms:modified xsi:type="dcterms:W3CDTF">2026-02-28T18:16:32Z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